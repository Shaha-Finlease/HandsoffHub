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E74E860-63F5-45DA-8E76-255C3F1B80FB}" xr6:coauthVersionLast="47" xr6:coauthVersionMax="47" xr10:uidLastSave="{00000000-0000-0000-0000-000000000000}"/>
  <bookViews>
    <workbookView xWindow="-120" yWindow="-120" windowWidth="20730" windowHeight="11040" xr2:uid="{9E351DDF-8456-4C5A-96F2-DF62127AD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R5" i="1"/>
  <c r="S4" i="1"/>
  <c r="R4" i="1"/>
  <c r="S3" i="1"/>
  <c r="R3" i="1"/>
  <c r="S2" i="1"/>
  <c r="R2" i="1"/>
</calcChain>
</file>

<file path=xl/sharedStrings.xml><?xml version="1.0" encoding="utf-8"?>
<sst xmlns="http://schemas.openxmlformats.org/spreadsheetml/2006/main" count="80" uniqueCount="58">
  <si>
    <t>PORTFOLIO</t>
  </si>
  <si>
    <t>PORTFOLIO TYPE/SOURCE</t>
  </si>
  <si>
    <t>PRODUCT TYPE</t>
  </si>
  <si>
    <t>Loan ID</t>
  </si>
  <si>
    <t>LOAN NO</t>
  </si>
  <si>
    <t>Customer Name</t>
  </si>
  <si>
    <t>Mode of Pay</t>
  </si>
  <si>
    <t>Date of Pay</t>
  </si>
  <si>
    <t>Reference No</t>
  </si>
  <si>
    <t>Amount</t>
  </si>
  <si>
    <t>CHEQUE.no</t>
  </si>
  <si>
    <t>TRANSACTION DESCRIPTION</t>
  </si>
  <si>
    <t>HAND OFF DATE</t>
  </si>
  <si>
    <t>AGENCY NAME</t>
  </si>
  <si>
    <t>CALLER NAME</t>
  </si>
  <si>
    <t>AGENCY MANAGER</t>
  </si>
  <si>
    <t>BANK</t>
  </si>
  <si>
    <t>DAY</t>
  </si>
  <si>
    <t>CONCATE</t>
  </si>
  <si>
    <t>REMARKS</t>
  </si>
  <si>
    <t>CASHE</t>
  </si>
  <si>
    <t>CASHE 1 OCT 2022</t>
  </si>
  <si>
    <t>PL</t>
  </si>
  <si>
    <t>SARAVANAN KRISHNASWAMY</t>
  </si>
  <si>
    <t>UPI</t>
  </si>
  <si>
    <t>01-09-2026</t>
  </si>
  <si>
    <t>H261092610001</t>
  </si>
  <si>
    <t>624414740563</t>
  </si>
  <si>
    <t>UPI-Mr Saravanan Krishna-sarav3186-1@okicici-IDIB000S181-624414740563-UPI</t>
  </si>
  <si>
    <t>12-09-2026</t>
  </si>
  <si>
    <t>INH</t>
  </si>
  <si>
    <t>SUHANA SHAIKH</t>
  </si>
  <si>
    <t>SMITA JAGTAP</t>
  </si>
  <si>
    <t>HDFC</t>
  </si>
  <si>
    <t>PRASANTH KUMAR THOTA</t>
  </si>
  <si>
    <t>NEFT</t>
  </si>
  <si>
    <t>H261092610002</t>
  </si>
  <si>
    <t>SBIN526244349613</t>
  </si>
  <si>
    <t>NEFT Cr-SBIN0010686-MUNILAKSHMI-SHAHA FINLEASE PVT LTD-SBIN526244349613</t>
  </si>
  <si>
    <t>KP</t>
  </si>
  <si>
    <t>POONAM INDULKAR</t>
  </si>
  <si>
    <t>SCB</t>
  </si>
  <si>
    <t>CC</t>
  </si>
  <si>
    <t>0231061010002010</t>
  </si>
  <si>
    <t>4129038087626774</t>
  </si>
  <si>
    <t>ANINDIT BANERJEE</t>
  </si>
  <si>
    <t>H261092610003</t>
  </si>
  <si>
    <t>687359126049</t>
  </si>
  <si>
    <t>UPI-CHANDRANI  BANERJEE-aninditbanerjee@ybl-SBIN0004233-687359126049-Payment from Phone</t>
  </si>
  <si>
    <t xml:space="preserve">DARSHANA MAHADIK </t>
  </si>
  <si>
    <t>AMBUJ TRIPATHI</t>
  </si>
  <si>
    <t>0230164192213050</t>
  </si>
  <si>
    <t>9356500807361662</t>
  </si>
  <si>
    <t>SANJAY VALCHAND MEHTA</t>
  </si>
  <si>
    <t>CASH</t>
  </si>
  <si>
    <t>H261092610004</t>
  </si>
  <si>
    <t>833</t>
  </si>
  <si>
    <t>CASH DEPOSIT-XXXXXXXXXX1261-BKC BANDRAEAST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</si>
</sst>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2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  <xf numFmtId="1" fontId="0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left"/>
    </xf>
    <xf numFmtId="22" fontId="0" fillId="0" borderId="1" xfId="0" applyNumberFormat="1" applyBorder="1" applyAlignment="1">
      <alignment horizontal="left"/>
    </xf>
    <xf numFmtId="1" fontId="0" fillId="0" borderId="1" xfId="0" quotePrefix="1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A77E-24C4-4138-A184-3FAA1A4B614C}">
  <dimension ref="A1:T5"/>
  <sheetViews>
    <sheetView tabSelected="1" workbookViewId="0">
      <selection sqref="A1:T5"/>
    </sheetView>
  </sheetViews>
  <sheetFormatPr defaultRowHeight="15" x14ac:dyDescent="0.25"/>
  <cols>
    <col min="1" max="1" width="11.28515625" bestFit="1" customWidth="1"/>
    <col min="2" max="2" width="25" bestFit="1" customWidth="1"/>
    <col min="3" max="3" width="15" bestFit="1" customWidth="1"/>
    <col min="4" max="5" width="17.28515625" bestFit="1" customWidth="1"/>
    <col min="6" max="6" width="26.85546875" bestFit="1" customWidth="1"/>
    <col min="7" max="7" width="11.85546875" bestFit="1" customWidth="1"/>
    <col min="8" max="8" width="11.140625" bestFit="1" customWidth="1"/>
    <col min="9" max="9" width="14.42578125" bestFit="1" customWidth="1"/>
    <col min="10" max="10" width="8" bestFit="1" customWidth="1"/>
    <col min="11" max="11" width="17.42578125" bestFit="1" customWidth="1"/>
    <col min="12" max="12" width="89.85546875" bestFit="1" customWidth="1"/>
    <col min="13" max="13" width="15.5703125" bestFit="1" customWidth="1"/>
    <col min="14" max="14" width="14.5703125" bestFit="1" customWidth="1"/>
    <col min="15" max="15" width="19.85546875" bestFit="1" customWidth="1"/>
    <col min="16" max="16" width="18.7109375" bestFit="1" customWidth="1"/>
    <col min="17" max="17" width="5.85546875" bestFit="1" customWidth="1"/>
    <col min="18" max="18" width="8.28515625" bestFit="1" customWidth="1"/>
    <col min="19" max="19" width="23.28515625" bestFit="1" customWidth="1"/>
    <col min="20" max="20" width="9.7109375" bestFit="1" customWidth="1"/>
  </cols>
  <sheetData>
    <row r="1" spans="1:20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9" t="s">
        <v>16</v>
      </c>
      <c r="R1" s="5" t="s">
        <v>17</v>
      </c>
      <c r="S1" s="13" t="s">
        <v>18</v>
      </c>
      <c r="T1" s="13" t="s">
        <v>19</v>
      </c>
    </row>
    <row r="2" spans="1:20" x14ac:dyDescent="0.25">
      <c r="A2" s="14" t="s">
        <v>20</v>
      </c>
      <c r="B2" s="15" t="s">
        <v>21</v>
      </c>
      <c r="C2" s="15" t="s">
        <v>22</v>
      </c>
      <c r="D2" s="15">
        <v>597362</v>
      </c>
      <c r="E2" s="15">
        <v>597362</v>
      </c>
      <c r="F2" s="15" t="s">
        <v>23</v>
      </c>
      <c r="G2" s="16" t="s">
        <v>24</v>
      </c>
      <c r="H2" s="17" t="s">
        <v>25</v>
      </c>
      <c r="I2" s="18" t="s">
        <v>26</v>
      </c>
      <c r="J2" s="19">
        <v>5000</v>
      </c>
      <c r="K2" s="20" t="s">
        <v>27</v>
      </c>
      <c r="L2" s="15" t="s">
        <v>28</v>
      </c>
      <c r="M2" s="21" t="s">
        <v>29</v>
      </c>
      <c r="N2" s="14" t="s">
        <v>30</v>
      </c>
      <c r="O2" s="14" t="s">
        <v>31</v>
      </c>
      <c r="P2" s="14" t="s">
        <v>32</v>
      </c>
      <c r="Q2" s="14" t="s">
        <v>33</v>
      </c>
      <c r="R2" s="22" t="str">
        <f>TEXT(H2,"DDDDDD")</f>
        <v>Tuesday</v>
      </c>
      <c r="S2" s="14" t="str">
        <f t="shared" ref="S2:S5" si="0">N2&amp;O2</f>
        <v>INHSUHANA SHAIKH</v>
      </c>
      <c r="T2" s="14"/>
    </row>
    <row r="3" spans="1:20" x14ac:dyDescent="0.25">
      <c r="A3" s="14" t="s">
        <v>20</v>
      </c>
      <c r="B3" s="15" t="s">
        <v>21</v>
      </c>
      <c r="C3" s="15" t="s">
        <v>22</v>
      </c>
      <c r="D3" s="15">
        <v>747014</v>
      </c>
      <c r="E3" s="15">
        <v>747014</v>
      </c>
      <c r="F3" s="15" t="s">
        <v>34</v>
      </c>
      <c r="G3" s="16" t="s">
        <v>35</v>
      </c>
      <c r="H3" s="17" t="s">
        <v>25</v>
      </c>
      <c r="I3" s="18" t="s">
        <v>36</v>
      </c>
      <c r="J3" s="19">
        <v>152300</v>
      </c>
      <c r="K3" s="20" t="s">
        <v>37</v>
      </c>
      <c r="L3" s="15" t="s">
        <v>38</v>
      </c>
      <c r="M3" s="21" t="s">
        <v>29</v>
      </c>
      <c r="N3" s="14" t="s">
        <v>39</v>
      </c>
      <c r="O3" s="14" t="s">
        <v>39</v>
      </c>
      <c r="P3" s="14" t="s">
        <v>40</v>
      </c>
      <c r="Q3" s="14" t="s">
        <v>33</v>
      </c>
      <c r="R3" s="22" t="str">
        <f t="shared" ref="R3:R5" si="1">TEXT(H3,"DDDDDD")</f>
        <v>Tuesday</v>
      </c>
      <c r="S3" s="14" t="str">
        <f t="shared" si="0"/>
        <v>KPKP</v>
      </c>
      <c r="T3" s="14"/>
    </row>
    <row r="4" spans="1:20" x14ac:dyDescent="0.25">
      <c r="A4" s="14" t="s">
        <v>41</v>
      </c>
      <c r="B4" s="15" t="s">
        <v>42</v>
      </c>
      <c r="C4" s="15" t="s">
        <v>42</v>
      </c>
      <c r="D4" s="23" t="s">
        <v>43</v>
      </c>
      <c r="E4" s="23" t="s">
        <v>44</v>
      </c>
      <c r="F4" s="24" t="s">
        <v>45</v>
      </c>
      <c r="G4" s="16" t="s">
        <v>24</v>
      </c>
      <c r="H4" s="17" t="s">
        <v>25</v>
      </c>
      <c r="I4" s="18" t="s">
        <v>46</v>
      </c>
      <c r="J4" s="19">
        <v>3000</v>
      </c>
      <c r="K4" s="20" t="s">
        <v>47</v>
      </c>
      <c r="L4" s="15" t="s">
        <v>48</v>
      </c>
      <c r="M4" s="21" t="s">
        <v>29</v>
      </c>
      <c r="N4" s="14" t="s">
        <v>30</v>
      </c>
      <c r="O4" s="14" t="s">
        <v>49</v>
      </c>
      <c r="P4" s="14" t="s">
        <v>50</v>
      </c>
      <c r="Q4" s="14" t="s">
        <v>33</v>
      </c>
      <c r="R4" s="22" t="str">
        <f t="shared" si="1"/>
        <v>Tuesday</v>
      </c>
      <c r="S4" s="14" t="str">
        <f t="shared" si="0"/>
        <v xml:space="preserve">INHDARSHANA MAHADIK </v>
      </c>
      <c r="T4" s="14"/>
    </row>
    <row r="5" spans="1:20" x14ac:dyDescent="0.25">
      <c r="A5" s="14" t="s">
        <v>41</v>
      </c>
      <c r="B5" s="15" t="s">
        <v>42</v>
      </c>
      <c r="C5" s="15" t="s">
        <v>42</v>
      </c>
      <c r="D5" s="25" t="s">
        <v>51</v>
      </c>
      <c r="E5" s="25" t="s">
        <v>52</v>
      </c>
      <c r="F5" s="15" t="s">
        <v>53</v>
      </c>
      <c r="G5" s="16" t="s">
        <v>54</v>
      </c>
      <c r="H5" s="17" t="s">
        <v>25</v>
      </c>
      <c r="I5" s="18" t="s">
        <v>55</v>
      </c>
      <c r="J5" s="19">
        <v>22000</v>
      </c>
      <c r="K5" s="20" t="s">
        <v>56</v>
      </c>
      <c r="L5" s="15" t="s">
        <v>57</v>
      </c>
      <c r="M5" s="21" t="s">
        <v>29</v>
      </c>
      <c r="N5" s="14" t="s">
        <v>30</v>
      </c>
      <c r="O5" s="14" t="s">
        <v>49</v>
      </c>
      <c r="P5" s="14" t="s">
        <v>50</v>
      </c>
      <c r="Q5" s="14" t="s">
        <v>33</v>
      </c>
      <c r="R5" s="22" t="str">
        <f t="shared" si="1"/>
        <v>Tuesday</v>
      </c>
      <c r="S5" s="14" t="str">
        <f t="shared" si="0"/>
        <v xml:space="preserve">INHDARSHANA MAHADIK </v>
      </c>
      <c r="T5" s="14"/>
    </row>
  </sheetData>
  <conditionalFormatting sqref="F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Tejas.m</dc:creator>
  <cp:lastModifiedBy>Tejas.m</cp:lastModifiedBy>
  <dcterms:created xsi:type="dcterms:W3CDTF">2026-10-19T09:19:26Z</dcterms:created>
  <dcterms:modified xsi:type="dcterms:W3CDTF">2026-10-19T09:19:38Z</dcterms:modified>
</cp:coreProperties>
</file>